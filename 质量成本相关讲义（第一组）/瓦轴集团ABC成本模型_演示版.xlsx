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基础数据" sheetId="2" state="visible" r:id="rId2"/>
    <sheet name="成本归集" sheetId="3" state="visible" r:id="rId3"/>
    <sheet name="作业识别" sheetId="4" state="visible" r:id="rId4"/>
    <sheet name="成本动因" sheetId="5" state="visible" r:id="rId5"/>
    <sheet name="产品成本(ABC)" sheetId="6" state="visible" r:id="rId6"/>
    <sheet name="成本对比" sheetId="7" state="visible" r:id="rId7"/>
    <sheet name="可视化图表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11">
    <font>
      <name val="Calibri"/>
      <family val="2"/>
      <color theme="1"/>
      <sz val="11"/>
      <scheme val="minor"/>
    </font>
    <font>
      <name val="微软雅黑"/>
      <b val="1"/>
      <color rgb="004472C4"/>
      <sz val="18"/>
    </font>
    <font>
      <name val="微软雅黑"/>
      <i val="1"/>
      <color rgb="007F7F7F"/>
      <sz val="12"/>
    </font>
    <font>
      <name val="微软雅黑"/>
      <b val="1"/>
      <sz val="12"/>
    </font>
    <font>
      <name val="微软雅黑"/>
      <sz val="10"/>
    </font>
    <font>
      <name val="微软雅黑"/>
      <b val="1"/>
      <sz val="11"/>
    </font>
    <font>
      <name val="微软雅黑"/>
      <b val="1"/>
      <sz val="14"/>
    </font>
    <font>
      <name val="微软雅黑"/>
      <b val="1"/>
      <color rgb="00FFFFFF"/>
      <sz val="11"/>
    </font>
    <font>
      <name val="微软雅黑"/>
      <b val="1"/>
      <sz val="10"/>
    </font>
    <font>
      <name val="微软雅黑"/>
      <b val="1"/>
      <color rgb="00C00000"/>
      <sz val="12"/>
    </font>
    <font>
      <name val="微软雅黑"/>
      <color rgb="00C00000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/>
    </xf>
    <xf numFmtId="0" fontId="4" fillId="0" borderId="1" pivotButton="0" quotePrefix="0" xfId="0"/>
    <xf numFmtId="3" fontId="4" fillId="0" borderId="1" applyAlignment="1" pivotButton="0" quotePrefix="0" xfId="0">
      <alignment horizontal="right"/>
    </xf>
    <xf numFmtId="4" fontId="4" fillId="0" borderId="1" applyAlignment="1" pivotButton="0" quotePrefix="0" xfId="0">
      <alignment horizontal="right"/>
    </xf>
    <xf numFmtId="0" fontId="8" fillId="3" borderId="1" pivotButton="0" quotePrefix="0" xfId="0"/>
    <xf numFmtId="0" fontId="0" fillId="3" borderId="1" pivotButton="0" quotePrefix="0" xfId="0"/>
    <xf numFmtId="3" fontId="0" fillId="3" borderId="1" pivotButton="0" quotePrefix="0" xfId="0"/>
    <xf numFmtId="0" fontId="7" fillId="2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right"/>
    </xf>
    <xf numFmtId="0" fontId="0" fillId="0" borderId="1" pivotButton="0" quotePrefix="0" xfId="0"/>
    <xf numFmtId="165" fontId="4" fillId="0" borderId="1" pivotButton="0" quotePrefix="0" xfId="0"/>
    <xf numFmtId="165" fontId="0" fillId="0" borderId="1" pivotButton="0" quotePrefix="0" xfId="0"/>
    <xf numFmtId="4" fontId="0" fillId="3" borderId="1" pivotButton="0" quotePrefix="0" xfId="0"/>
    <xf numFmtId="2" fontId="0" fillId="3" borderId="1" pivotButton="0" quotePrefix="0" xfId="0"/>
    <xf numFmtId="2" fontId="0" fillId="0" borderId="1" pivotButton="0" quotePrefix="0" xfId="0"/>
    <xf numFmtId="165" fontId="0" fillId="3" borderId="1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传统方法 vs ABC方法 单位成本对比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'可视化图表'!B4</f>
            </strRef>
          </tx>
          <spPr>
            <a:ln>
              <a:prstDash val="solid"/>
            </a:ln>
          </spPr>
          <cat>
            <numRef>
              <f>'可视化图表'!$A$5:$A$9</f>
            </numRef>
          </cat>
          <val>
            <numRef>
              <f>'可视化图表'!$B$5:$B$9</f>
            </numRef>
          </val>
        </ser>
        <ser>
          <idx val="1"/>
          <order val="1"/>
          <tx>
            <strRef>
              <f>'可视化图表'!C4</f>
            </strRef>
          </tx>
          <spPr>
            <a:ln>
              <a:prstDash val="solid"/>
            </a:ln>
          </spPr>
          <cat>
            <numRef>
              <f>'可视化图表'!$A$5:$A$9</f>
            </numRef>
          </cat>
          <val>
            <numRef>
              <f>'可视化图表'!$C$5:$C$9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产品型号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单位成本（元）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作业成本分布</a:t>
            </a:r>
          </a:p>
        </rich>
      </tx>
    </title>
    <plotArea>
      <pieChart>
        <varyColors val="1"/>
        <ser>
          <idx val="0"/>
          <order val="0"/>
          <tx>
            <strRef>
              <f>'可视化图表'!B21</f>
            </strRef>
          </tx>
          <spPr>
            <a:ln>
              <a:prstDash val="solid"/>
            </a:ln>
          </spPr>
          <cat>
            <numRef>
              <f>'可视化图表'!$A$22:$A$25</f>
            </numRef>
          </cat>
          <val>
            <numRef>
              <f>'可视化图表'!$B$22:$B$25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19</row>
      <rowOff>0</rowOff>
    </from>
    <ext cx="540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8"/>
  <sheetViews>
    <sheetView workbookViewId="0">
      <selection activeCell="A1" sqref="A1"/>
    </sheetView>
  </sheetViews>
  <sheetFormatPr baseColWidth="8" defaultRowHeight="15"/>
  <cols>
    <col width="3" customWidth="1" min="1" max="1"/>
    <col width="25" customWidth="1" min="2" max="2"/>
    <col width="40" customWidth="1" min="3" max="3"/>
  </cols>
  <sheetData>
    <row r="2">
      <c r="B2" s="1" t="inlineStr">
        <is>
          <t>瓦轴集团ABC成本核算模型</t>
        </is>
      </c>
    </row>
    <row r="3">
      <c r="B3" s="2" t="inlineStr">
        <is>
          <t>Activity-Based Costing Model</t>
        </is>
      </c>
    </row>
    <row r="5">
      <c r="B5" t="inlineStr">
        <is>
          <t>模型版本：</t>
        </is>
      </c>
      <c r="C5" t="inlineStr">
        <is>
          <t>V1.0</t>
        </is>
      </c>
    </row>
    <row r="6">
      <c r="B6" t="inlineStr">
        <is>
          <t>创建日期：</t>
        </is>
      </c>
      <c r="C6" t="inlineStr">
        <is>
          <t>2025年12月10日</t>
        </is>
      </c>
    </row>
    <row r="7">
      <c r="B7" t="inlineStr">
        <is>
          <t>适用范围：</t>
        </is>
      </c>
      <c r="C7" t="inlineStr">
        <is>
          <t>精加工车间三分厂</t>
        </is>
      </c>
    </row>
    <row r="8">
      <c r="B8" t="inlineStr">
        <is>
          <t>核算期间：</t>
        </is>
      </c>
      <c r="C8" t="inlineStr">
        <is>
          <t>2024年第四季度(10-12月)</t>
        </is>
      </c>
    </row>
    <row r="10">
      <c r="B10" s="3" t="inlineStr">
        <is>
          <t>使用说明：</t>
        </is>
      </c>
    </row>
    <row r="11">
      <c r="B11" s="4" t="inlineStr">
        <is>
          <t>1. 首先查看【基础数据】工作表，了解产品和生产信息</t>
        </is>
      </c>
    </row>
    <row r="12">
      <c r="B12" s="4" t="inlineStr">
        <is>
          <t>2. 查看【成本归集】工作表，了解制造费用构成</t>
        </is>
      </c>
    </row>
    <row r="13">
      <c r="B13" s="4" t="inlineStr">
        <is>
          <t>3. 查看【作业识别】和【成本动因】，了解ABC方法的核心</t>
        </is>
      </c>
    </row>
    <row r="14">
      <c r="B14" s="4" t="inlineStr">
        <is>
          <t>4. 系统自动计算【产品成本】，无需手动操作</t>
        </is>
      </c>
    </row>
    <row r="15">
      <c r="B15" s="4" t="inlineStr">
        <is>
          <t>5. 查看【成本对比】和【可视化图表】，了解ABC方法的价值</t>
        </is>
      </c>
    </row>
    <row r="17">
      <c r="B17" s="3" t="inlineStr">
        <is>
          <t>注意事项：</t>
        </is>
      </c>
    </row>
    <row r="18">
      <c r="B18" s="4" t="inlineStr">
        <is>
          <t>• 浅黄色单元格为输入区（本模型为演示，数据已填充）</t>
        </is>
      </c>
    </row>
    <row r="19">
      <c r="B19" s="4" t="inlineStr">
        <is>
          <t>• 浅蓝色单元格为自动计算区，请勿修改</t>
        </is>
      </c>
    </row>
    <row r="20">
      <c r="B20" s="4" t="inlineStr">
        <is>
          <t>• 修改输入数据后，按F9刷新计算</t>
        </is>
      </c>
    </row>
    <row r="21">
      <c r="B21" s="4" t="inlineStr">
        <is>
          <t>• 定期备份模型文件</t>
        </is>
      </c>
    </row>
    <row r="23">
      <c r="B23" s="5" t="inlineStr">
        <is>
          <t>项目组成员：</t>
        </is>
      </c>
    </row>
    <row r="24">
      <c r="B24" t="inlineStr">
        <is>
          <t>负责人: __________</t>
        </is>
      </c>
    </row>
    <row r="25">
      <c r="B25" t="inlineStr">
        <is>
          <t>成员: __________, __________, __________</t>
        </is>
      </c>
    </row>
    <row r="27">
      <c r="B27" s="5" t="inlineStr">
        <is>
          <t>技术支持：</t>
        </is>
      </c>
    </row>
    <row r="28">
      <c r="B28" t="inlineStr">
        <is>
          <t>顾问: __________  联系方式: __________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6" t="inlineStr">
        <is>
          <t>产品信息表</t>
        </is>
      </c>
    </row>
    <row r="2">
      <c r="A2" s="7" t="inlineStr">
        <is>
          <t>产品编号</t>
        </is>
      </c>
      <c r="B2" s="7" t="inlineStr">
        <is>
          <t>产品型号</t>
        </is>
      </c>
      <c r="C2" s="7" t="inlineStr">
        <is>
          <t>产品名称</t>
        </is>
      </c>
      <c r="D2" s="7" t="inlineStr">
        <is>
          <t>产品类别</t>
        </is>
      </c>
      <c r="E2" s="7" t="inlineStr">
        <is>
          <t>季度产量(件)</t>
        </is>
      </c>
      <c r="F2" s="7" t="inlineStr">
        <is>
          <t>批次数</t>
        </is>
      </c>
      <c r="G2" s="7" t="inlineStr">
        <is>
          <t>平均批量</t>
        </is>
      </c>
      <c r="H2" s="7" t="inlineStr">
        <is>
          <t>单位售价(元)</t>
        </is>
      </c>
      <c r="I2" s="7" t="inlineStr">
        <is>
          <t>备注</t>
        </is>
      </c>
    </row>
    <row r="3">
      <c r="A3" s="8" t="inlineStr">
        <is>
          <t>P001</t>
        </is>
      </c>
      <c r="B3" s="8" t="inlineStr">
        <is>
          <t>32315</t>
        </is>
      </c>
      <c r="C3" s="8" t="inlineStr">
        <is>
          <t>圆锥滚子轴承</t>
        </is>
      </c>
      <c r="D3" s="8" t="inlineStr">
        <is>
          <t>标准品</t>
        </is>
      </c>
      <c r="E3" s="9" t="n">
        <v>60000</v>
      </c>
      <c r="F3" s="9" t="n">
        <v>30</v>
      </c>
      <c r="G3" s="9" t="n">
        <v>2000</v>
      </c>
      <c r="H3" s="10" t="n">
        <v>145</v>
      </c>
      <c r="I3" s="8" t="inlineStr">
        <is>
          <t>主力产品,走量</t>
        </is>
      </c>
    </row>
    <row r="4">
      <c r="A4" s="8" t="inlineStr">
        <is>
          <t>P002</t>
        </is>
      </c>
      <c r="B4" s="8" t="inlineStr">
        <is>
          <t>6320</t>
        </is>
      </c>
      <c r="C4" s="8" t="inlineStr">
        <is>
          <t>深沟球轴承</t>
        </is>
      </c>
      <c r="D4" s="8" t="inlineStr">
        <is>
          <t>标准品</t>
        </is>
      </c>
      <c r="E4" s="9" t="n">
        <v>45000</v>
      </c>
      <c r="F4" s="9" t="n">
        <v>45</v>
      </c>
      <c r="G4" s="9" t="n">
        <v>1000</v>
      </c>
      <c r="H4" s="10" t="n">
        <v>92</v>
      </c>
      <c r="I4" s="8" t="inlineStr">
        <is>
          <t>薄利多销</t>
        </is>
      </c>
    </row>
    <row r="5">
      <c r="A5" s="8" t="inlineStr">
        <is>
          <t>P003</t>
        </is>
      </c>
      <c r="B5" s="8" t="inlineStr">
        <is>
          <t>NU2316</t>
        </is>
      </c>
      <c r="C5" s="8" t="inlineStr">
        <is>
          <t>圆柱滚子轴承</t>
        </is>
      </c>
      <c r="D5" s="8" t="inlineStr">
        <is>
          <t>标准品</t>
        </is>
      </c>
      <c r="E5" s="9" t="n">
        <v>18000</v>
      </c>
      <c r="F5" s="9" t="n">
        <v>36</v>
      </c>
      <c r="G5" s="9" t="n">
        <v>500</v>
      </c>
      <c r="H5" s="10" t="n">
        <v>280</v>
      </c>
      <c r="I5" s="8" t="inlineStr">
        <is>
          <t>毛利较好</t>
        </is>
      </c>
    </row>
    <row r="6">
      <c r="A6" s="8" t="inlineStr">
        <is>
          <t>P004</t>
        </is>
      </c>
      <c r="B6" s="8" t="inlineStr">
        <is>
          <t>定制-HD</t>
        </is>
      </c>
      <c r="C6" s="8" t="inlineStr">
        <is>
          <t>高端定制轴承</t>
        </is>
      </c>
      <c r="D6" s="8" t="inlineStr">
        <is>
          <t>定制品</t>
        </is>
      </c>
      <c r="E6" s="9" t="n">
        <v>1500</v>
      </c>
      <c r="F6" s="9" t="n">
        <v>30</v>
      </c>
      <c r="G6" s="9" t="n">
        <v>50</v>
      </c>
      <c r="H6" s="10" t="n">
        <v>1800</v>
      </c>
      <c r="I6" s="8" t="inlineStr">
        <is>
          <t>技术门槛高</t>
        </is>
      </c>
    </row>
    <row r="7">
      <c r="A7" s="8" t="inlineStr">
        <is>
          <t>P005</t>
        </is>
      </c>
      <c r="B7" s="8" t="inlineStr">
        <is>
          <t>定制-TP</t>
        </is>
      </c>
      <c r="C7" s="8" t="inlineStr">
        <is>
          <t>特种工况轴承</t>
        </is>
      </c>
      <c r="D7" s="8" t="inlineStr">
        <is>
          <t>定制品</t>
        </is>
      </c>
      <c r="E7" s="9" t="n">
        <v>300</v>
      </c>
      <c r="F7" s="9" t="n">
        <v>20</v>
      </c>
      <c r="G7" s="9" t="n">
        <v>15</v>
      </c>
      <c r="H7" s="10" t="n">
        <v>5500</v>
      </c>
      <c r="I7" s="8" t="inlineStr">
        <is>
          <t>超高端定制</t>
        </is>
      </c>
    </row>
    <row r="8">
      <c r="A8" s="11" t="inlineStr">
        <is>
          <t>合计</t>
        </is>
      </c>
      <c r="B8" s="12" t="n"/>
      <c r="C8" s="12" t="n"/>
      <c r="D8" s="12" t="n"/>
      <c r="E8" s="13">
        <f>SUM(E3:E7)</f>
        <v/>
      </c>
      <c r="F8" s="13">
        <f>SUM(F3:F7)</f>
        <v/>
      </c>
      <c r="G8" s="12" t="n"/>
      <c r="H8" s="12" t="n"/>
      <c r="I8" s="12" t="n"/>
    </row>
    <row r="10">
      <c r="A10" s="6" t="inlineStr">
        <is>
          <t>产品工时统计表</t>
        </is>
      </c>
    </row>
    <row r="11">
      <c r="A11" s="14" t="inlineStr">
        <is>
          <t>产品编号</t>
        </is>
      </c>
      <c r="B11" s="14" t="inlineStr">
        <is>
          <t>单件标准工时(h)</t>
        </is>
      </c>
      <c r="C11" s="14" t="inlineStr">
        <is>
          <t>单件机器小时(h)</t>
        </is>
      </c>
      <c r="D11" s="14" t="inlineStr">
        <is>
          <t>季度总人工(h)</t>
        </is>
      </c>
      <c r="E11" s="14" t="inlineStr">
        <is>
          <t>季度总机时(h)</t>
        </is>
      </c>
    </row>
    <row r="12">
      <c r="A12" s="8" t="inlineStr">
        <is>
          <t>P001</t>
        </is>
      </c>
      <c r="B12" s="15" t="n">
        <v>0.4</v>
      </c>
      <c r="C12" s="15" t="n">
        <v>1.2</v>
      </c>
      <c r="D12" s="9" t="n">
        <v>24000</v>
      </c>
      <c r="E12" s="9" t="n">
        <v>72000</v>
      </c>
    </row>
    <row r="13">
      <c r="A13" s="8" t="inlineStr">
        <is>
          <t>P002</t>
        </is>
      </c>
      <c r="B13" s="15" t="n">
        <v>0.3</v>
      </c>
      <c r="C13" s="15" t="n">
        <v>0.8</v>
      </c>
      <c r="D13" s="9" t="n">
        <v>13500</v>
      </c>
      <c r="E13" s="9" t="n">
        <v>36000</v>
      </c>
    </row>
    <row r="14">
      <c r="A14" s="8" t="inlineStr">
        <is>
          <t>P003</t>
        </is>
      </c>
      <c r="B14" s="15" t="n">
        <v>0.6</v>
      </c>
      <c r="C14" s="15" t="n">
        <v>1.5</v>
      </c>
      <c r="D14" s="9" t="n">
        <v>10800</v>
      </c>
      <c r="E14" s="9" t="n">
        <v>27000</v>
      </c>
    </row>
    <row r="15">
      <c r="A15" s="8" t="inlineStr">
        <is>
          <t>P004</t>
        </is>
      </c>
      <c r="B15" s="15" t="n">
        <v>2.5</v>
      </c>
      <c r="C15" s="15" t="n">
        <v>4</v>
      </c>
      <c r="D15" s="9" t="n">
        <v>3750</v>
      </c>
      <c r="E15" s="9" t="n">
        <v>6000</v>
      </c>
    </row>
    <row r="16">
      <c r="A16" s="8" t="inlineStr">
        <is>
          <t>P005</t>
        </is>
      </c>
      <c r="B16" s="15" t="n">
        <v>5</v>
      </c>
      <c r="C16" s="15" t="n">
        <v>8</v>
      </c>
      <c r="D16" s="9" t="n">
        <v>1500</v>
      </c>
      <c r="E16" s="9" t="n">
        <v>2400</v>
      </c>
    </row>
    <row r="17">
      <c r="A17" s="11" t="inlineStr">
        <is>
          <t>合计</t>
        </is>
      </c>
      <c r="B17" s="12" t="n"/>
      <c r="C17" s="12" t="n"/>
      <c r="D17" s="13">
        <f>SUM(D12:D16)</f>
        <v/>
      </c>
      <c r="E17" s="13">
        <f>SUM(E12:E16)</f>
        <v/>
      </c>
    </row>
    <row r="19">
      <c r="A19" s="6" t="inlineStr">
        <is>
          <t>直接成本汇总表</t>
        </is>
      </c>
    </row>
    <row r="20">
      <c r="A20" s="14" t="inlineStr">
        <is>
          <t>产品编号</t>
        </is>
      </c>
      <c r="B20" s="14" t="inlineStr">
        <is>
          <t>直接材料(元)</t>
        </is>
      </c>
      <c r="C20" s="14" t="inlineStr">
        <is>
          <t>直接人工(元)</t>
        </is>
      </c>
      <c r="D20" s="14" t="inlineStr">
        <is>
          <t>直接成本合计(元)</t>
        </is>
      </c>
      <c r="E20" s="14" t="inlineStr">
        <is>
          <t>单位直接成本(元)</t>
        </is>
      </c>
    </row>
    <row r="21">
      <c r="A21" s="16" t="inlineStr">
        <is>
          <t>P001</t>
        </is>
      </c>
      <c r="B21" s="10" t="n">
        <v>2880000</v>
      </c>
      <c r="C21" s="10" t="n">
        <v>1200000</v>
      </c>
      <c r="D21" s="10">
        <f>B21+C21</f>
        <v/>
      </c>
      <c r="E21" s="10">
        <f>D21/E3</f>
        <v/>
      </c>
    </row>
    <row r="22">
      <c r="A22" s="16" t="inlineStr">
        <is>
          <t>P002</t>
        </is>
      </c>
      <c r="B22" s="10" t="n">
        <v>1170000</v>
      </c>
      <c r="C22" s="10" t="n">
        <v>675000</v>
      </c>
      <c r="D22" s="10">
        <f>B22+C22</f>
        <v/>
      </c>
      <c r="E22" s="10">
        <f>D22/E4</f>
        <v/>
      </c>
    </row>
    <row r="23">
      <c r="A23" s="16" t="inlineStr">
        <is>
          <t>P003</t>
        </is>
      </c>
      <c r="B23" s="10" t="n">
        <v>1170000</v>
      </c>
      <c r="C23" s="10" t="n">
        <v>540000</v>
      </c>
      <c r="D23" s="10">
        <f>B23+C23</f>
        <v/>
      </c>
      <c r="E23" s="10">
        <f>D23/E5</f>
        <v/>
      </c>
    </row>
    <row r="24">
      <c r="A24" s="16" t="inlineStr">
        <is>
          <t>P004</t>
        </is>
      </c>
      <c r="B24" s="10" t="n">
        <v>210000</v>
      </c>
      <c r="C24" s="10" t="n">
        <v>300000</v>
      </c>
      <c r="D24" s="10">
        <f>B24+C24</f>
        <v/>
      </c>
      <c r="E24" s="10">
        <f>D24/E6</f>
        <v/>
      </c>
    </row>
    <row r="25">
      <c r="A25" s="16" t="inlineStr">
        <is>
          <t>P005</t>
        </is>
      </c>
      <c r="B25" s="10" t="n">
        <v>90000</v>
      </c>
      <c r="C25" s="10" t="n">
        <v>120000</v>
      </c>
      <c r="D25" s="10">
        <f>B25+C25</f>
        <v/>
      </c>
      <c r="E25" s="10">
        <f>D25/E7</f>
        <v/>
      </c>
    </row>
  </sheetData>
  <mergeCells count="3">
    <mergeCell ref="A1:I1"/>
    <mergeCell ref="A10:E10"/>
    <mergeCell ref="A19:E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5" customWidth="1" min="3" max="3"/>
    <col width="10" customWidth="1" min="4" max="4"/>
    <col width="20" customWidth="1" min="5" max="5"/>
    <col width="15" customWidth="1" min="6" max="6"/>
  </cols>
  <sheetData>
    <row r="1">
      <c r="A1" s="6" t="inlineStr">
        <is>
          <t>制造费用汇总表（季度，元）</t>
        </is>
      </c>
    </row>
    <row r="2">
      <c r="A2" s="7" t="inlineStr">
        <is>
          <t>费用编号</t>
        </is>
      </c>
      <c r="B2" s="7" t="inlineStr">
        <is>
          <t>费用科目</t>
        </is>
      </c>
      <c r="C2" s="7" t="inlineStr">
        <is>
          <t>季度发生额(元)</t>
        </is>
      </c>
      <c r="D2" s="7" t="inlineStr">
        <is>
          <t>占比</t>
        </is>
      </c>
      <c r="E2" s="7" t="inlineStr">
        <is>
          <t>归属性质</t>
        </is>
      </c>
      <c r="F2" s="7" t="inlineStr">
        <is>
          <t>备注</t>
        </is>
      </c>
    </row>
    <row r="3">
      <c r="A3" s="8" t="inlineStr">
        <is>
          <t>C01</t>
        </is>
      </c>
      <c r="B3" s="8" t="inlineStr">
        <is>
          <t>设备折旧费</t>
        </is>
      </c>
      <c r="C3" s="9" t="n">
        <v>2400000</v>
      </c>
      <c r="D3" s="17">
        <f>C3/C14</f>
        <v/>
      </c>
      <c r="E3" s="8" t="inlineStr">
        <is>
          <t>与设备使用相关</t>
        </is>
      </c>
      <c r="F3" s="4" t="n"/>
    </row>
    <row r="4">
      <c r="A4" s="8" t="inlineStr">
        <is>
          <t>C02</t>
        </is>
      </c>
      <c r="B4" s="8" t="inlineStr">
        <is>
          <t>电费</t>
        </is>
      </c>
      <c r="C4" s="9" t="n">
        <v>900000</v>
      </c>
      <c r="D4" s="17">
        <f>C4/C14</f>
        <v/>
      </c>
      <c r="E4" s="8" t="inlineStr">
        <is>
          <t>与机器运行相关</t>
        </is>
      </c>
      <c r="F4" s="4" t="n"/>
    </row>
    <row r="5">
      <c r="A5" s="8" t="inlineStr">
        <is>
          <t>C03</t>
        </is>
      </c>
      <c r="B5" s="8" t="inlineStr">
        <is>
          <t>设备维修保养费</t>
        </is>
      </c>
      <c r="C5" s="9" t="n">
        <v>480000</v>
      </c>
      <c r="D5" s="17">
        <f>C5/C14</f>
        <v/>
      </c>
      <c r="E5" s="8" t="inlineStr">
        <is>
          <t>与设备使用相关</t>
        </is>
      </c>
      <c r="F5" s="4" t="n"/>
    </row>
    <row r="6">
      <c r="A6" s="8" t="inlineStr">
        <is>
          <t>C04</t>
        </is>
      </c>
      <c r="B6" s="8" t="inlineStr">
        <is>
          <t>工装模具折旧</t>
        </is>
      </c>
      <c r="C6" s="9" t="n">
        <v>360000</v>
      </c>
      <c r="D6" s="17">
        <f>C6/C14</f>
        <v/>
      </c>
      <c r="E6" s="8" t="inlineStr">
        <is>
          <t>与批次相关</t>
        </is>
      </c>
      <c r="F6" s="4" t="n"/>
    </row>
    <row r="7">
      <c r="A7" s="8" t="inlineStr">
        <is>
          <t>C05</t>
        </is>
      </c>
      <c r="B7" s="8" t="inlineStr">
        <is>
          <t>车间管理人员工资</t>
        </is>
      </c>
      <c r="C7" s="9" t="n">
        <v>1260000</v>
      </c>
      <c r="D7" s="17">
        <f>C7/C14</f>
        <v/>
      </c>
      <c r="E7" s="8" t="inlineStr">
        <is>
          <t>设施级</t>
        </is>
      </c>
      <c r="F7" s="4" t="n"/>
    </row>
    <row r="8">
      <c r="A8" s="8" t="inlineStr">
        <is>
          <t>C06</t>
        </is>
      </c>
      <c r="B8" s="8" t="inlineStr">
        <is>
          <t>间接生产人员工资</t>
        </is>
      </c>
      <c r="C8" s="9" t="n">
        <v>840000</v>
      </c>
      <c r="D8" s="17">
        <f>C8/C14</f>
        <v/>
      </c>
      <c r="E8" s="8" t="inlineStr">
        <is>
          <t>多种作业</t>
        </is>
      </c>
      <c r="F8" s="4" t="n"/>
    </row>
    <row r="9">
      <c r="A9" s="8" t="inlineStr">
        <is>
          <t>C07</t>
        </is>
      </c>
      <c r="B9" s="8" t="inlineStr">
        <is>
          <t>质检部门费用</t>
        </is>
      </c>
      <c r="C9" s="9" t="n">
        <v>720000</v>
      </c>
      <c r="D9" s="17">
        <f>C9/C14</f>
        <v/>
      </c>
      <c r="E9" s="8" t="inlineStr">
        <is>
          <t>与检验相关</t>
        </is>
      </c>
      <c r="F9" s="4" t="n"/>
    </row>
    <row r="10">
      <c r="A10" s="8" t="inlineStr">
        <is>
          <t>C08</t>
        </is>
      </c>
      <c r="B10" s="8" t="inlineStr">
        <is>
          <t>物料搬运费用</t>
        </is>
      </c>
      <c r="C10" s="9" t="n">
        <v>360000</v>
      </c>
      <c r="D10" s="17">
        <f>C10/C14</f>
        <v/>
      </c>
      <c r="E10" s="8" t="inlineStr">
        <is>
          <t>与搬运相关</t>
        </is>
      </c>
      <c r="F10" s="4" t="n"/>
    </row>
    <row r="11">
      <c r="A11" s="8" t="inlineStr">
        <is>
          <t>C09</t>
        </is>
      </c>
      <c r="B11" s="8" t="inlineStr">
        <is>
          <t>车间办公及低耗</t>
        </is>
      </c>
      <c r="C11" s="9" t="n">
        <v>180000</v>
      </c>
      <c r="D11" s="17">
        <f>C11/C14</f>
        <v/>
      </c>
      <c r="E11" s="8" t="inlineStr">
        <is>
          <t>设施级</t>
        </is>
      </c>
      <c r="F11" s="4" t="n"/>
    </row>
    <row r="12">
      <c r="A12" s="8" t="inlineStr">
        <is>
          <t>C10</t>
        </is>
      </c>
      <c r="B12" s="8" t="inlineStr">
        <is>
          <t>水费、蒸汽费</t>
        </is>
      </c>
      <c r="C12" s="9" t="n">
        <v>240000</v>
      </c>
      <c r="D12" s="17">
        <f>C12/C14</f>
        <v/>
      </c>
      <c r="E12" s="8" t="inlineStr">
        <is>
          <t>与生产相关</t>
        </is>
      </c>
      <c r="F12" s="4" t="n"/>
    </row>
    <row r="13">
      <c r="A13" s="8" t="inlineStr">
        <is>
          <t>C11</t>
        </is>
      </c>
      <c r="B13" s="8" t="inlineStr">
        <is>
          <t>其他制造费用</t>
        </is>
      </c>
      <c r="C13" s="9" t="n">
        <v>160000</v>
      </c>
      <c r="D13" s="17">
        <f>C13/C14</f>
        <v/>
      </c>
      <c r="E13" s="8" t="inlineStr">
        <is>
          <t>设施级</t>
        </is>
      </c>
      <c r="F13" s="4" t="n"/>
    </row>
    <row r="14">
      <c r="A14" s="11" t="inlineStr">
        <is>
          <t>合计</t>
        </is>
      </c>
      <c r="B14" s="12" t="n"/>
      <c r="C14" s="13">
        <f>SUM(C3:C13)</f>
        <v/>
      </c>
      <c r="D14" s="12" t="inlineStr">
        <is>
          <t>100.0%</t>
        </is>
      </c>
      <c r="E14" s="12" t="n"/>
      <c r="F14" s="12" t="n"/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0" customWidth="1" min="3" max="3"/>
    <col width="18" customWidth="1" min="4" max="4"/>
    <col width="15" customWidth="1" min="5" max="5"/>
    <col width="10" customWidth="1" min="6" max="6"/>
    <col width="15" customWidth="1" min="7" max="7"/>
  </cols>
  <sheetData>
    <row r="1">
      <c r="A1" s="6" t="inlineStr">
        <is>
          <t>作业清单</t>
        </is>
      </c>
    </row>
    <row r="2">
      <c r="A2" s="7" t="inlineStr">
        <is>
          <t>作业编号</t>
        </is>
      </c>
      <c r="B2" s="7" t="inlineStr">
        <is>
          <t>作业名称</t>
        </is>
      </c>
      <c r="C2" s="7" t="inlineStr">
        <is>
          <t>作业层级</t>
        </is>
      </c>
      <c r="D2" s="7" t="inlineStr">
        <is>
          <t>作业描述</t>
        </is>
      </c>
      <c r="E2" s="7" t="inlineStr">
        <is>
          <t>作业成本(元)</t>
        </is>
      </c>
      <c r="F2" s="7" t="inlineStr">
        <is>
          <t>占比</t>
        </is>
      </c>
      <c r="G2" s="7" t="inlineStr">
        <is>
          <t>备注</t>
        </is>
      </c>
    </row>
    <row r="3">
      <c r="A3" s="8" t="inlineStr">
        <is>
          <t>A01</t>
        </is>
      </c>
      <c r="B3" s="8" t="inlineStr">
        <is>
          <t>车削加工</t>
        </is>
      </c>
      <c r="C3" s="8" t="inlineStr">
        <is>
          <t>单位级</t>
        </is>
      </c>
      <c r="D3" s="8" t="inlineStr">
        <is>
          <t>内外圈粗精车</t>
        </is>
      </c>
      <c r="E3" s="9" t="n">
        <v>1680000</v>
      </c>
      <c r="F3" s="18">
        <f>E3/E23</f>
        <v/>
      </c>
    </row>
    <row r="4">
      <c r="A4" s="8" t="inlineStr">
        <is>
          <t>A02</t>
        </is>
      </c>
      <c r="B4" s="8" t="inlineStr">
        <is>
          <t>磨削加工</t>
        </is>
      </c>
      <c r="C4" s="8" t="inlineStr">
        <is>
          <t>单位级</t>
        </is>
      </c>
      <c r="D4" s="8" t="inlineStr">
        <is>
          <t>内外圈精密磨</t>
        </is>
      </c>
      <c r="E4" s="9" t="n">
        <v>1440000</v>
      </c>
      <c r="F4" s="18">
        <f>E4/E23</f>
        <v/>
      </c>
    </row>
    <row r="5">
      <c r="A5" s="8" t="inlineStr">
        <is>
          <t>A03</t>
        </is>
      </c>
      <c r="B5" s="8" t="inlineStr">
        <is>
          <t>热处理</t>
        </is>
      </c>
      <c r="C5" s="8" t="inlineStr">
        <is>
          <t>单位级</t>
        </is>
      </c>
      <c r="D5" s="8" t="inlineStr">
        <is>
          <t>淬火回火</t>
        </is>
      </c>
      <c r="E5" s="9" t="n">
        <v>720000</v>
      </c>
      <c r="F5" s="18">
        <f>E5/E23</f>
        <v/>
      </c>
    </row>
    <row r="6">
      <c r="A6" s="8" t="inlineStr">
        <is>
          <t>A04</t>
        </is>
      </c>
      <c r="B6" s="8" t="inlineStr">
        <is>
          <t>超精研</t>
        </is>
      </c>
      <c r="C6" s="8" t="inlineStr">
        <is>
          <t>单位级</t>
        </is>
      </c>
      <c r="D6" s="8" t="inlineStr">
        <is>
          <t>表面超精加工</t>
        </is>
      </c>
      <c r="E6" s="9" t="n">
        <v>480000</v>
      </c>
      <c r="F6" s="18">
        <f>E6/E23</f>
        <v/>
      </c>
    </row>
    <row r="7">
      <c r="A7" s="8" t="inlineStr">
        <is>
          <t>A05</t>
        </is>
      </c>
      <c r="B7" s="8" t="inlineStr">
        <is>
          <t>清洗去毛刺</t>
        </is>
      </c>
      <c r="C7" s="8" t="inlineStr">
        <is>
          <t>单位级</t>
        </is>
      </c>
      <c r="D7" s="8" t="inlineStr">
        <is>
          <t>清洗处理</t>
        </is>
      </c>
      <c r="E7" s="9" t="n">
        <v>240000</v>
      </c>
      <c r="F7" s="18">
        <f>E7/E23</f>
        <v/>
      </c>
    </row>
    <row r="8">
      <c r="A8" s="8" t="inlineStr">
        <is>
          <t>B01</t>
        </is>
      </c>
      <c r="B8" s="8" t="inlineStr">
        <is>
          <t>设备换型调整</t>
        </is>
      </c>
      <c r="C8" s="8" t="inlineStr">
        <is>
          <t>批次级</t>
        </is>
      </c>
      <c r="D8" s="8" t="inlineStr">
        <is>
          <t>工装更换调整</t>
        </is>
      </c>
      <c r="E8" s="9" t="n">
        <v>800000</v>
      </c>
      <c r="F8" s="18">
        <f>E8/E23</f>
        <v/>
      </c>
    </row>
    <row r="9">
      <c r="A9" s="8" t="inlineStr">
        <is>
          <t>B02</t>
        </is>
      </c>
      <c r="B9" s="8" t="inlineStr">
        <is>
          <t>首件检验</t>
        </is>
      </c>
      <c r="C9" s="8" t="inlineStr">
        <is>
          <t>批次级</t>
        </is>
      </c>
      <c r="D9" s="8" t="inlineStr">
        <is>
          <t>批次首检</t>
        </is>
      </c>
      <c r="E9" s="9" t="n">
        <v>240000</v>
      </c>
      <c r="F9" s="18">
        <f>E9/E23</f>
        <v/>
      </c>
    </row>
    <row r="10">
      <c r="A10" s="8" t="inlineStr">
        <is>
          <t>B03</t>
        </is>
      </c>
      <c r="B10" s="8" t="inlineStr">
        <is>
          <t>生产准备</t>
        </is>
      </c>
      <c r="C10" s="8" t="inlineStr">
        <is>
          <t>批次级</t>
        </is>
      </c>
      <c r="D10" s="8" t="inlineStr">
        <is>
          <t>领料排产</t>
        </is>
      </c>
      <c r="E10" s="9" t="n">
        <v>160000</v>
      </c>
      <c r="F10" s="18">
        <f>E10/E23</f>
        <v/>
      </c>
    </row>
    <row r="11">
      <c r="A11" s="8" t="inlineStr">
        <is>
          <t>B04</t>
        </is>
      </c>
      <c r="B11" s="8" t="inlineStr">
        <is>
          <t>物料搬运</t>
        </is>
      </c>
      <c r="C11" s="8" t="inlineStr">
        <is>
          <t>批次级</t>
        </is>
      </c>
      <c r="D11" s="8" t="inlineStr">
        <is>
          <t>工序间搬运</t>
        </is>
      </c>
      <c r="E11" s="9" t="n">
        <v>360000</v>
      </c>
      <c r="F11" s="18">
        <f>E11/E23</f>
        <v/>
      </c>
    </row>
    <row r="12">
      <c r="A12" s="8" t="inlineStr">
        <is>
          <t>B05</t>
        </is>
      </c>
      <c r="B12" s="8" t="inlineStr">
        <is>
          <t>批次质检</t>
        </is>
      </c>
      <c r="C12" s="8" t="inlineStr">
        <is>
          <t>批次级</t>
        </is>
      </c>
      <c r="D12" s="8" t="inlineStr">
        <is>
          <t>巡检抽检</t>
        </is>
      </c>
      <c r="E12" s="9" t="n">
        <v>320000</v>
      </c>
      <c r="F12" s="18">
        <f>E12/E23</f>
        <v/>
      </c>
    </row>
    <row r="13">
      <c r="A13" s="8" t="inlineStr">
        <is>
          <t>B06</t>
        </is>
      </c>
      <c r="B13" s="8" t="inlineStr">
        <is>
          <t>包装入库</t>
        </is>
      </c>
      <c r="C13" s="8" t="inlineStr">
        <is>
          <t>批次级</t>
        </is>
      </c>
      <c r="D13" s="8" t="inlineStr">
        <is>
          <t>批次包装</t>
        </is>
      </c>
      <c r="E13" s="9" t="n">
        <v>160000</v>
      </c>
      <c r="F13" s="18">
        <f>E13/E23</f>
        <v/>
      </c>
    </row>
    <row r="14">
      <c r="A14" s="8" t="inlineStr">
        <is>
          <t>C01</t>
        </is>
      </c>
      <c r="B14" s="8" t="inlineStr">
        <is>
          <t>工艺设计优化</t>
        </is>
      </c>
      <c r="C14" s="8" t="inlineStr">
        <is>
          <t>产品级</t>
        </is>
      </c>
      <c r="D14" s="8" t="inlineStr">
        <is>
          <t>新品工艺</t>
        </is>
      </c>
      <c r="E14" s="9" t="n">
        <v>240000</v>
      </c>
      <c r="F14" s="18">
        <f>E14/E23</f>
        <v/>
      </c>
    </row>
    <row r="15">
      <c r="A15" s="8" t="inlineStr">
        <is>
          <t>C02</t>
        </is>
      </c>
      <c r="B15" s="8" t="inlineStr">
        <is>
          <t>专用工装制作</t>
        </is>
      </c>
      <c r="C15" s="8" t="inlineStr">
        <is>
          <t>产品级</t>
        </is>
      </c>
      <c r="D15" s="8" t="inlineStr">
        <is>
          <t>专用工装</t>
        </is>
      </c>
      <c r="E15" s="9" t="n">
        <v>180000</v>
      </c>
      <c r="F15" s="18">
        <f>E15/E23</f>
        <v/>
      </c>
    </row>
    <row r="16">
      <c r="A16" s="8" t="inlineStr">
        <is>
          <t>C03</t>
        </is>
      </c>
      <c r="B16" s="8" t="inlineStr">
        <is>
          <t>程序编制调试</t>
        </is>
      </c>
      <c r="C16" s="8" t="inlineStr">
        <is>
          <t>产品级</t>
        </is>
      </c>
      <c r="D16" s="8" t="inlineStr">
        <is>
          <t>数控程序</t>
        </is>
      </c>
      <c r="E16" s="9" t="n">
        <v>120000</v>
      </c>
      <c r="F16" s="18">
        <f>E16/E23</f>
        <v/>
      </c>
    </row>
    <row r="17">
      <c r="A17" s="8" t="inlineStr">
        <is>
          <t>C04</t>
        </is>
      </c>
      <c r="B17" s="8" t="inlineStr">
        <is>
          <t>试产验证</t>
        </is>
      </c>
      <c r="C17" s="8" t="inlineStr">
        <is>
          <t>产品级</t>
        </is>
      </c>
      <c r="D17" s="8" t="inlineStr">
        <is>
          <t>新品试产</t>
        </is>
      </c>
      <c r="E17" s="9" t="n">
        <v>80000</v>
      </c>
      <c r="F17" s="18">
        <f>E17/E23</f>
        <v/>
      </c>
    </row>
    <row r="18">
      <c r="A18" s="8" t="inlineStr">
        <is>
          <t>D01</t>
        </is>
      </c>
      <c r="B18" s="8" t="inlineStr">
        <is>
          <t>车间管理</t>
        </is>
      </c>
      <c r="C18" s="8" t="inlineStr">
        <is>
          <t>设施级</t>
        </is>
      </c>
      <c r="D18" s="8" t="inlineStr">
        <is>
          <t>车间运营管理</t>
        </is>
      </c>
      <c r="E18" s="9" t="n">
        <v>480000</v>
      </c>
      <c r="F18" s="18">
        <f>E18/E23</f>
        <v/>
      </c>
    </row>
    <row r="19">
      <c r="A19" s="8" t="inlineStr">
        <is>
          <t>D02</t>
        </is>
      </c>
      <c r="B19" s="8" t="inlineStr">
        <is>
          <t>设备日常维护</t>
        </is>
      </c>
      <c r="C19" s="8" t="inlineStr">
        <is>
          <t>设施级</t>
        </is>
      </c>
      <c r="D19" s="8" t="inlineStr">
        <is>
          <t>预防性维护</t>
        </is>
      </c>
      <c r="E19" s="9" t="n">
        <v>200000</v>
      </c>
      <c r="F19" s="18">
        <f>E19/E23</f>
        <v/>
      </c>
    </row>
    <row r="20">
      <c r="A20" s="8" t="inlineStr">
        <is>
          <t>D03</t>
        </is>
      </c>
      <c r="B20" s="8" t="inlineStr">
        <is>
          <t>质量体系维护</t>
        </is>
      </c>
      <c r="C20" s="8" t="inlineStr">
        <is>
          <t>设施级</t>
        </is>
      </c>
      <c r="D20" s="8" t="inlineStr">
        <is>
          <t>质量管理</t>
        </is>
      </c>
      <c r="E20" s="9" t="n">
        <v>160000</v>
      </c>
      <c r="F20" s="18">
        <f>E20/E23</f>
        <v/>
      </c>
    </row>
    <row r="21">
      <c r="A21" s="8" t="inlineStr">
        <is>
          <t>D04</t>
        </is>
      </c>
      <c r="B21" s="8" t="inlineStr">
        <is>
          <t>环境安全管理</t>
        </is>
      </c>
      <c r="C21" s="8" t="inlineStr">
        <is>
          <t>设施级</t>
        </is>
      </c>
      <c r="D21" s="8" t="inlineStr">
        <is>
          <t>5S安全</t>
        </is>
      </c>
      <c r="E21" s="9" t="n">
        <v>120000</v>
      </c>
      <c r="F21" s="18">
        <f>E21/E23</f>
        <v/>
      </c>
    </row>
    <row r="22">
      <c r="A22" s="8" t="inlineStr">
        <is>
          <t>D05</t>
        </is>
      </c>
      <c r="B22" s="8" t="inlineStr">
        <is>
          <t>能源动力供应</t>
        </is>
      </c>
      <c r="C22" s="8" t="inlineStr">
        <is>
          <t>设施级</t>
        </is>
      </c>
      <c r="D22" s="8" t="inlineStr">
        <is>
          <t>水电气供应</t>
        </is>
      </c>
      <c r="E22" s="9" t="n">
        <v>120000</v>
      </c>
      <c r="F22" s="18">
        <f>E22/E23</f>
        <v/>
      </c>
    </row>
    <row r="23">
      <c r="A23" s="11" t="inlineStr">
        <is>
          <t>合计</t>
        </is>
      </c>
      <c r="B23" s="12" t="n"/>
      <c r="C23" s="12" t="n"/>
      <c r="D23" s="12" t="n"/>
      <c r="E23" s="13">
        <f>SUM(E3:E22)</f>
        <v/>
      </c>
      <c r="F23" s="12" t="inlineStr">
        <is>
          <t>100.0%</t>
        </is>
      </c>
      <c r="G23" s="12" t="n"/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2" customWidth="1" min="4" max="4"/>
    <col width="15" customWidth="1" min="5" max="5"/>
    <col width="15" customWidth="1" min="6" max="6"/>
    <col width="10" customWidth="1" min="7" max="7"/>
  </cols>
  <sheetData>
    <row r="1">
      <c r="A1" s="6" t="inlineStr">
        <is>
          <t>成本动因选择与分配率</t>
        </is>
      </c>
    </row>
    <row r="2">
      <c r="A2" s="7" t="inlineStr">
        <is>
          <t>作业编号</t>
        </is>
      </c>
      <c r="B2" s="7" t="inlineStr">
        <is>
          <t>作业名称</t>
        </is>
      </c>
      <c r="C2" s="7" t="inlineStr">
        <is>
          <t>成本动因</t>
        </is>
      </c>
      <c r="D2" s="7" t="inlineStr">
        <is>
          <t>动因总量</t>
        </is>
      </c>
      <c r="E2" s="7" t="inlineStr">
        <is>
          <t>作业成本(元)</t>
        </is>
      </c>
      <c r="F2" s="7" t="inlineStr">
        <is>
          <t>分配率</t>
        </is>
      </c>
      <c r="G2" s="7" t="inlineStr">
        <is>
          <t>单位</t>
        </is>
      </c>
    </row>
    <row r="3">
      <c r="A3" s="8" t="inlineStr">
        <is>
          <t>A01</t>
        </is>
      </c>
      <c r="B3" s="8" t="inlineStr">
        <is>
          <t>车削加工</t>
        </is>
      </c>
      <c r="C3" s="8" t="inlineStr">
        <is>
          <t>车削机时(h)</t>
        </is>
      </c>
      <c r="D3" s="9" t="n">
        <v>69000</v>
      </c>
      <c r="E3" s="9" t="n">
        <v>1680000</v>
      </c>
      <c r="F3" s="10">
        <f>E3/D3</f>
        <v/>
      </c>
      <c r="G3" s="8" t="inlineStr">
        <is>
          <t>元/h</t>
        </is>
      </c>
    </row>
    <row r="4">
      <c r="A4" s="8" t="inlineStr">
        <is>
          <t>A02</t>
        </is>
      </c>
      <c r="B4" s="8" t="inlineStr">
        <is>
          <t>磨削加工</t>
        </is>
      </c>
      <c r="C4" s="8" t="inlineStr">
        <is>
          <t>磨削机时(h)</t>
        </is>
      </c>
      <c r="D4" s="9" t="n">
        <v>61200</v>
      </c>
      <c r="E4" s="9" t="n">
        <v>1440000</v>
      </c>
      <c r="F4" s="10">
        <f>E4/D4</f>
        <v/>
      </c>
      <c r="G4" s="8" t="inlineStr">
        <is>
          <t>元/h</t>
        </is>
      </c>
    </row>
    <row r="5">
      <c r="A5" s="8" t="inlineStr">
        <is>
          <t>A03</t>
        </is>
      </c>
      <c r="B5" s="8" t="inlineStr">
        <is>
          <t>热处理</t>
        </is>
      </c>
      <c r="C5" s="8" t="inlineStr">
        <is>
          <t>热处理件数</t>
        </is>
      </c>
      <c r="D5" s="9" t="n">
        <v>124800</v>
      </c>
      <c r="E5" s="9" t="n">
        <v>720000</v>
      </c>
      <c r="F5" s="10">
        <f>E5/D5</f>
        <v/>
      </c>
      <c r="G5" s="8" t="inlineStr">
        <is>
          <t>元/件</t>
        </is>
      </c>
    </row>
    <row r="6">
      <c r="A6" s="8" t="inlineStr">
        <is>
          <t>A04</t>
        </is>
      </c>
      <c r="B6" s="8" t="inlineStr">
        <is>
          <t>超精研</t>
        </is>
      </c>
      <c r="C6" s="8" t="inlineStr">
        <is>
          <t>超精研机时(h)</t>
        </is>
      </c>
      <c r="D6" s="9" t="n">
        <v>13200</v>
      </c>
      <c r="E6" s="9" t="n">
        <v>480000</v>
      </c>
      <c r="F6" s="10">
        <f>E6/D6</f>
        <v/>
      </c>
      <c r="G6" s="8" t="inlineStr">
        <is>
          <t>元/h</t>
        </is>
      </c>
    </row>
    <row r="7">
      <c r="A7" s="8" t="inlineStr">
        <is>
          <t>A05</t>
        </is>
      </c>
      <c r="B7" s="8" t="inlineStr">
        <is>
          <t>清洗去毛刺</t>
        </is>
      </c>
      <c r="C7" s="8" t="inlineStr">
        <is>
          <t>清洗件数</t>
        </is>
      </c>
      <c r="D7" s="9" t="n">
        <v>124800</v>
      </c>
      <c r="E7" s="9" t="n">
        <v>240000</v>
      </c>
      <c r="F7" s="10">
        <f>E7/D7</f>
        <v/>
      </c>
      <c r="G7" s="8" t="inlineStr">
        <is>
          <t>元/件</t>
        </is>
      </c>
    </row>
    <row r="8">
      <c r="A8" s="8" t="inlineStr">
        <is>
          <t>B01</t>
        </is>
      </c>
      <c r="B8" s="8" t="inlineStr">
        <is>
          <t>设备换型调整</t>
        </is>
      </c>
      <c r="C8" s="8" t="inlineStr">
        <is>
          <t>换型次数</t>
        </is>
      </c>
      <c r="D8" s="9" t="n">
        <v>161</v>
      </c>
      <c r="E8" s="9" t="n">
        <v>800000</v>
      </c>
      <c r="F8" s="10">
        <f>E8/D8</f>
        <v/>
      </c>
      <c r="G8" s="8" t="inlineStr">
        <is>
          <t>元/次</t>
        </is>
      </c>
    </row>
    <row r="9">
      <c r="A9" s="8" t="inlineStr">
        <is>
          <t>B02</t>
        </is>
      </c>
      <c r="B9" s="8" t="inlineStr">
        <is>
          <t>首件检验</t>
        </is>
      </c>
      <c r="C9" s="8" t="inlineStr">
        <is>
          <t>首检次数</t>
        </is>
      </c>
      <c r="D9" s="9" t="n">
        <v>161</v>
      </c>
      <c r="E9" s="9" t="n">
        <v>240000</v>
      </c>
      <c r="F9" s="10">
        <f>E9/D9</f>
        <v/>
      </c>
      <c r="G9" s="8" t="inlineStr">
        <is>
          <t>元/次</t>
        </is>
      </c>
    </row>
    <row r="10">
      <c r="A10" s="8" t="inlineStr">
        <is>
          <t>B03</t>
        </is>
      </c>
      <c r="B10" s="8" t="inlineStr">
        <is>
          <t>生产准备</t>
        </is>
      </c>
      <c r="C10" s="8" t="inlineStr">
        <is>
          <t>生产批次</t>
        </is>
      </c>
      <c r="D10" s="9" t="n">
        <v>161</v>
      </c>
      <c r="E10" s="9" t="n">
        <v>160000</v>
      </c>
      <c r="F10" s="10">
        <f>E10/D10</f>
        <v/>
      </c>
      <c r="G10" s="8" t="inlineStr">
        <is>
          <t>元/批</t>
        </is>
      </c>
    </row>
    <row r="11">
      <c r="A11" s="8" t="inlineStr">
        <is>
          <t>B04</t>
        </is>
      </c>
      <c r="B11" s="8" t="inlineStr">
        <is>
          <t>物料搬运</t>
        </is>
      </c>
      <c r="C11" s="8" t="inlineStr">
        <is>
          <t>搬运批次</t>
        </is>
      </c>
      <c r="D11" s="9" t="n">
        <v>322</v>
      </c>
      <c r="E11" s="9" t="n">
        <v>360000</v>
      </c>
      <c r="F11" s="10">
        <f>E11/D11</f>
        <v/>
      </c>
      <c r="G11" s="8" t="inlineStr">
        <is>
          <t>元/批</t>
        </is>
      </c>
    </row>
    <row r="12">
      <c r="A12" s="8" t="inlineStr">
        <is>
          <t>B05</t>
        </is>
      </c>
      <c r="B12" s="8" t="inlineStr">
        <is>
          <t>批次质检</t>
        </is>
      </c>
      <c r="C12" s="8" t="inlineStr">
        <is>
          <t>巡检批次</t>
        </is>
      </c>
      <c r="D12" s="9" t="n">
        <v>161</v>
      </c>
      <c r="E12" s="9" t="n">
        <v>320000</v>
      </c>
      <c r="F12" s="10">
        <f>E12/D12</f>
        <v/>
      </c>
      <c r="G12" s="8" t="inlineStr">
        <is>
          <t>元/批</t>
        </is>
      </c>
    </row>
    <row r="13">
      <c r="A13" s="8" t="inlineStr">
        <is>
          <t>B06</t>
        </is>
      </c>
      <c r="B13" s="8" t="inlineStr">
        <is>
          <t>包装入库</t>
        </is>
      </c>
      <c r="C13" s="8" t="inlineStr">
        <is>
          <t>包装批次</t>
        </is>
      </c>
      <c r="D13" s="9" t="n">
        <v>161</v>
      </c>
      <c r="E13" s="9" t="n">
        <v>160000</v>
      </c>
      <c r="F13" s="10">
        <f>E13/D13</f>
        <v/>
      </c>
      <c r="G13" s="8" t="inlineStr">
        <is>
          <t>元/批</t>
        </is>
      </c>
    </row>
    <row r="14">
      <c r="A14" s="8" t="inlineStr">
        <is>
          <t>C01</t>
        </is>
      </c>
      <c r="B14" s="8" t="inlineStr">
        <is>
          <t>工艺设计优化</t>
        </is>
      </c>
      <c r="C14" s="8" t="inlineStr">
        <is>
          <t>产品种类</t>
        </is>
      </c>
      <c r="D14" s="9" t="n">
        <v>2</v>
      </c>
      <c r="E14" s="9" t="n">
        <v>240000</v>
      </c>
      <c r="F14" s="10">
        <f>E14/D14</f>
        <v/>
      </c>
      <c r="G14" s="8" t="inlineStr">
        <is>
          <t>元/种</t>
        </is>
      </c>
    </row>
    <row r="15">
      <c r="A15" s="8" t="inlineStr">
        <is>
          <t>C02</t>
        </is>
      </c>
      <c r="B15" s="8" t="inlineStr">
        <is>
          <t>专用工装制作</t>
        </is>
      </c>
      <c r="C15" s="8" t="inlineStr">
        <is>
          <t>专用工装数</t>
        </is>
      </c>
      <c r="D15" s="9" t="n">
        <v>5</v>
      </c>
      <c r="E15" s="9" t="n">
        <v>180000</v>
      </c>
      <c r="F15" s="10">
        <f>E15/D15</f>
        <v/>
      </c>
      <c r="G15" s="8" t="inlineStr">
        <is>
          <t>元/套</t>
        </is>
      </c>
    </row>
    <row r="16">
      <c r="A16" s="8" t="inlineStr">
        <is>
          <t>C03</t>
        </is>
      </c>
      <c r="B16" s="8" t="inlineStr">
        <is>
          <t>程序编制调试</t>
        </is>
      </c>
      <c r="C16" s="8" t="inlineStr">
        <is>
          <t>程序套数</t>
        </is>
      </c>
      <c r="D16" s="9" t="n">
        <v>5</v>
      </c>
      <c r="E16" s="9" t="n">
        <v>120000</v>
      </c>
      <c r="F16" s="10">
        <f>E16/D16</f>
        <v/>
      </c>
      <c r="G16" s="8" t="inlineStr">
        <is>
          <t>元/套</t>
        </is>
      </c>
    </row>
    <row r="17">
      <c r="A17" s="8" t="inlineStr">
        <is>
          <t>C04</t>
        </is>
      </c>
      <c r="B17" s="8" t="inlineStr">
        <is>
          <t>试产验证</t>
        </is>
      </c>
      <c r="C17" s="8" t="inlineStr">
        <is>
          <t>试产次数</t>
        </is>
      </c>
      <c r="D17" s="9" t="n">
        <v>4</v>
      </c>
      <c r="E17" s="9" t="n">
        <v>80000</v>
      </c>
      <c r="F17" s="10">
        <f>E17/D17</f>
        <v/>
      </c>
      <c r="G17" s="8" t="inlineStr">
        <is>
          <t>元/次</t>
        </is>
      </c>
    </row>
    <row r="18">
      <c r="A18" s="8" t="inlineStr">
        <is>
          <t>D01</t>
        </is>
      </c>
      <c r="B18" s="8" t="inlineStr">
        <is>
          <t>车间管理</t>
        </is>
      </c>
      <c r="C18" s="8" t="inlineStr">
        <is>
          <t>产量(件)</t>
        </is>
      </c>
      <c r="D18" s="9" t="n">
        <v>124800</v>
      </c>
      <c r="E18" s="9" t="n">
        <v>480000</v>
      </c>
      <c r="F18" s="10">
        <f>E18/D18</f>
        <v/>
      </c>
      <c r="G18" s="8" t="inlineStr">
        <is>
          <t>元/件</t>
        </is>
      </c>
    </row>
    <row r="19">
      <c r="A19" s="8" t="inlineStr">
        <is>
          <t>D02</t>
        </is>
      </c>
      <c r="B19" s="8" t="inlineStr">
        <is>
          <t>设备日常维护</t>
        </is>
      </c>
      <c r="C19" s="8" t="inlineStr">
        <is>
          <t>机器小时</t>
        </is>
      </c>
      <c r="D19" s="9" t="n">
        <v>143400</v>
      </c>
      <c r="E19" s="9" t="n">
        <v>200000</v>
      </c>
      <c r="F19" s="10">
        <f>E19/D19</f>
        <v/>
      </c>
      <c r="G19" s="8" t="inlineStr">
        <is>
          <t>元/h</t>
        </is>
      </c>
    </row>
    <row r="20">
      <c r="A20" s="8" t="inlineStr">
        <is>
          <t>D03</t>
        </is>
      </c>
      <c r="B20" s="8" t="inlineStr">
        <is>
          <t>质量体系维护</t>
        </is>
      </c>
      <c r="C20" s="8" t="inlineStr">
        <is>
          <t>产量(件)</t>
        </is>
      </c>
      <c r="D20" s="9" t="n">
        <v>124800</v>
      </c>
      <c r="E20" s="9" t="n">
        <v>160000</v>
      </c>
      <c r="F20" s="10">
        <f>E20/D20</f>
        <v/>
      </c>
      <c r="G20" s="8" t="inlineStr">
        <is>
          <t>元/件</t>
        </is>
      </c>
    </row>
    <row r="21">
      <c r="A21" s="8" t="inlineStr">
        <is>
          <t>D04</t>
        </is>
      </c>
      <c r="B21" s="8" t="inlineStr">
        <is>
          <t>环境安全管理</t>
        </is>
      </c>
      <c r="C21" s="8" t="inlineStr">
        <is>
          <t>产量(件)</t>
        </is>
      </c>
      <c r="D21" s="9" t="n">
        <v>124800</v>
      </c>
      <c r="E21" s="9" t="n">
        <v>120000</v>
      </c>
      <c r="F21" s="10">
        <f>E21/D21</f>
        <v/>
      </c>
      <c r="G21" s="8" t="inlineStr">
        <is>
          <t>元/件</t>
        </is>
      </c>
    </row>
    <row r="22">
      <c r="A22" s="8" t="inlineStr">
        <is>
          <t>D05</t>
        </is>
      </c>
      <c r="B22" s="8" t="inlineStr">
        <is>
          <t>能源动力供应</t>
        </is>
      </c>
      <c r="C22" s="8" t="inlineStr">
        <is>
          <t>机器小时</t>
        </is>
      </c>
      <c r="D22" s="9" t="n">
        <v>143400</v>
      </c>
      <c r="E22" s="9" t="n">
        <v>120000</v>
      </c>
      <c r="F22" s="10">
        <f>E22/D22</f>
        <v/>
      </c>
      <c r="G22" s="8" t="inlineStr">
        <is>
          <t>元/h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5" customWidth="1" min="6" max="6"/>
    <col width="15" customWidth="1" min="7" max="7"/>
    <col width="12" customWidth="1" min="8" max="8"/>
    <col width="12" customWidth="1" min="9" max="9"/>
    <col width="12" customWidth="1" min="10" max="10"/>
    <col width="10" customWidth="1" min="11" max="11"/>
  </cols>
  <sheetData>
    <row r="1">
      <c r="A1" s="6" t="inlineStr">
        <is>
          <t>产品完全成本汇总表（ABC方法）</t>
        </is>
      </c>
    </row>
    <row r="2">
      <c r="A2" s="14" t="inlineStr">
        <is>
          <t>产品编号</t>
        </is>
      </c>
      <c r="B2" s="14" t="inlineStr">
        <is>
          <t>产品型号</t>
        </is>
      </c>
      <c r="C2" s="14" t="inlineStr">
        <is>
          <t>产量(件)</t>
        </is>
      </c>
      <c r="D2" s="14" t="inlineStr">
        <is>
          <t>直接材料</t>
        </is>
      </c>
      <c r="E2" s="14" t="inlineStr">
        <is>
          <t>直接人工</t>
        </is>
      </c>
      <c r="F2" s="14" t="inlineStr">
        <is>
          <t>ABC制造费用</t>
        </is>
      </c>
      <c r="G2" s="14" t="inlineStr">
        <is>
          <t>完全成本</t>
        </is>
      </c>
      <c r="H2" s="14" t="inlineStr">
        <is>
          <t>单位成本</t>
        </is>
      </c>
      <c r="I2" s="14" t="inlineStr">
        <is>
          <t>单位售价</t>
        </is>
      </c>
      <c r="J2" s="14" t="inlineStr">
        <is>
          <t>单位毛利</t>
        </is>
      </c>
      <c r="K2" s="14" t="inlineStr">
        <is>
          <t>毛利率</t>
        </is>
      </c>
    </row>
    <row r="3">
      <c r="A3" s="8" t="inlineStr">
        <is>
          <t>P001</t>
        </is>
      </c>
      <c r="B3" s="8" t="inlineStr">
        <is>
          <t>32315</t>
        </is>
      </c>
      <c r="C3" s="10" t="n">
        <v>60000</v>
      </c>
      <c r="D3" s="10" t="n">
        <v>2880000</v>
      </c>
      <c r="E3" s="10" t="n">
        <v>1200000</v>
      </c>
      <c r="F3" s="10" t="n">
        <v>3168180</v>
      </c>
      <c r="G3" s="19">
        <f>D3+E3+F3</f>
        <v/>
      </c>
      <c r="H3" s="20">
        <f>G3/C3</f>
        <v/>
      </c>
      <c r="I3" s="21">
        <f>基础数据!H3</f>
        <v/>
      </c>
      <c r="J3" s="20">
        <f>I3-H3</f>
        <v/>
      </c>
      <c r="K3" s="22">
        <f>J3/I3</f>
        <v/>
      </c>
    </row>
    <row r="4">
      <c r="A4" s="8" t="inlineStr">
        <is>
          <t>P002</t>
        </is>
      </c>
      <c r="B4" s="8" t="inlineStr">
        <is>
          <t>6320</t>
        </is>
      </c>
      <c r="C4" s="10" t="n">
        <v>45000</v>
      </c>
      <c r="D4" s="10" t="n">
        <v>1170000</v>
      </c>
      <c r="E4" s="10" t="n">
        <v>675000</v>
      </c>
      <c r="F4" s="10" t="n">
        <v>2468205</v>
      </c>
      <c r="G4" s="19">
        <f>D4+E4+F4</f>
        <v/>
      </c>
      <c r="H4" s="20">
        <f>G4/C4</f>
        <v/>
      </c>
      <c r="I4" s="21">
        <f>基础数据!H4</f>
        <v/>
      </c>
      <c r="J4" s="20">
        <f>I4-H4</f>
        <v/>
      </c>
      <c r="K4" s="22">
        <f>J4/I4</f>
        <v/>
      </c>
    </row>
    <row r="5">
      <c r="A5" s="8" t="inlineStr">
        <is>
          <t>P003</t>
        </is>
      </c>
      <c r="B5" s="8" t="inlineStr">
        <is>
          <t>NU2316</t>
        </is>
      </c>
      <c r="C5" s="10" t="n">
        <v>18000</v>
      </c>
      <c r="D5" s="10" t="n">
        <v>1170000</v>
      </c>
      <c r="E5" s="10" t="n">
        <v>540000</v>
      </c>
      <c r="F5" s="10" t="n">
        <v>1382163</v>
      </c>
      <c r="G5" s="19">
        <f>D5+E5+F5</f>
        <v/>
      </c>
      <c r="H5" s="20">
        <f>G5/C5</f>
        <v/>
      </c>
      <c r="I5" s="21">
        <f>基础数据!H5</f>
        <v/>
      </c>
      <c r="J5" s="20">
        <f>I5-H5</f>
        <v/>
      </c>
      <c r="K5" s="22">
        <f>J5/I5</f>
        <v/>
      </c>
    </row>
    <row r="6">
      <c r="A6" s="8" t="inlineStr">
        <is>
          <t>P004</t>
        </is>
      </c>
      <c r="B6" s="8" t="inlineStr">
        <is>
          <t>定制-HD</t>
        </is>
      </c>
      <c r="C6" s="10" t="n">
        <v>1500</v>
      </c>
      <c r="D6" s="10" t="n">
        <v>210000</v>
      </c>
      <c r="E6" s="10" t="n">
        <v>300000</v>
      </c>
      <c r="F6" s="10" t="n">
        <v>596652</v>
      </c>
      <c r="G6" s="19">
        <f>D6+E6+F6</f>
        <v/>
      </c>
      <c r="H6" s="20">
        <f>G6/C6</f>
        <v/>
      </c>
      <c r="I6" s="21">
        <f>基础数据!H6</f>
        <v/>
      </c>
      <c r="J6" s="20">
        <f>I6-H6</f>
        <v/>
      </c>
      <c r="K6" s="22">
        <f>J6/I6</f>
        <v/>
      </c>
    </row>
    <row r="7">
      <c r="A7" s="8" t="inlineStr">
        <is>
          <t>P005</t>
        </is>
      </c>
      <c r="B7" s="8" t="inlineStr">
        <is>
          <t>定制-TP</t>
        </is>
      </c>
      <c r="C7" s="10" t="n">
        <v>300</v>
      </c>
      <c r="D7" s="10" t="n">
        <v>90000</v>
      </c>
      <c r="E7" s="10" t="n">
        <v>120000</v>
      </c>
      <c r="F7" s="10" t="n">
        <v>284800</v>
      </c>
      <c r="G7" s="19">
        <f>D7+E7+F7</f>
        <v/>
      </c>
      <c r="H7" s="20">
        <f>G7/C7</f>
        <v/>
      </c>
      <c r="I7" s="21">
        <f>基础数据!H7</f>
        <v/>
      </c>
      <c r="J7" s="20">
        <f>I7-H7</f>
        <v/>
      </c>
      <c r="K7" s="22">
        <f>J7/I7</f>
        <v/>
      </c>
    </row>
    <row r="8">
      <c r="A8" s="23" t="inlineStr">
        <is>
          <t>合计</t>
        </is>
      </c>
      <c r="C8" s="19">
        <f>SUM(C3:C7)</f>
        <v/>
      </c>
      <c r="D8" s="19">
        <f>SUM(D3:D7)</f>
        <v/>
      </c>
      <c r="E8" s="19">
        <f>SUM(E3:E7)</f>
        <v/>
      </c>
      <c r="F8" s="19">
        <f>SUM(F3:F7)</f>
        <v/>
      </c>
      <c r="G8" s="19">
        <f>SUM(G3:G7)</f>
        <v/>
      </c>
    </row>
  </sheetData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6" t="inlineStr">
        <is>
          <t>传统方法 vs ABC方法成本对比分析</t>
        </is>
      </c>
    </row>
    <row r="3">
      <c r="A3" s="3" t="inlineStr">
        <is>
          <t>单位成本对比</t>
        </is>
      </c>
    </row>
    <row r="4">
      <c r="A4" s="7" t="inlineStr">
        <is>
          <t>产品型号</t>
        </is>
      </c>
      <c r="B4" s="7" t="inlineStr">
        <is>
          <t>传统方法(元)</t>
        </is>
      </c>
      <c r="C4" s="7" t="inlineStr">
        <is>
          <t>ABC方法(元)</t>
        </is>
      </c>
      <c r="D4" s="7" t="inlineStr">
        <is>
          <t>差异(元)</t>
        </is>
      </c>
      <c r="E4" s="7" t="inlineStr">
        <is>
          <t>差异率</t>
        </is>
      </c>
      <c r="F4" s="7" t="inlineStr">
        <is>
          <t>分析</t>
        </is>
      </c>
    </row>
    <row r="5">
      <c r="A5" s="16" t="inlineStr">
        <is>
          <t>32315</t>
        </is>
      </c>
      <c r="B5" s="21" t="n">
        <v>131.3</v>
      </c>
      <c r="C5" s="21" t="n">
        <v>120.8</v>
      </c>
      <c r="D5" s="20">
        <f>C5-B5</f>
        <v/>
      </c>
      <c r="E5" s="22">
        <f>D5/B5</f>
        <v/>
      </c>
      <c r="F5" s="16" t="inlineStr">
        <is>
          <t>被高估</t>
        </is>
      </c>
    </row>
    <row r="6">
      <c r="A6" s="16" t="inlineStr">
        <is>
          <t>6320</t>
        </is>
      </c>
      <c r="B6" s="21" t="n">
        <v>104.3</v>
      </c>
      <c r="C6" s="21" t="n">
        <v>95.84999999999999</v>
      </c>
      <c r="D6" s="20">
        <f>C6-B6</f>
        <v/>
      </c>
      <c r="E6" s="22">
        <f>D6/B6</f>
        <v/>
      </c>
      <c r="F6" s="16" t="inlineStr">
        <is>
          <t>被高估</t>
        </is>
      </c>
    </row>
    <row r="7">
      <c r="A7" s="16" t="inlineStr">
        <is>
          <t>NU2316</t>
        </is>
      </c>
      <c r="B7" s="21" t="n">
        <v>158.3</v>
      </c>
      <c r="C7" s="21" t="n">
        <v>171.79</v>
      </c>
      <c r="D7" s="20">
        <f>C7-B7</f>
        <v/>
      </c>
      <c r="E7" s="22">
        <f>D7/B7</f>
        <v/>
      </c>
      <c r="F7" s="16" t="inlineStr">
        <is>
          <t>被低估</t>
        </is>
      </c>
    </row>
    <row r="8">
      <c r="A8" s="16" t="inlineStr">
        <is>
          <t>定制-HD</t>
        </is>
      </c>
      <c r="B8" s="21" t="n">
        <v>403.3</v>
      </c>
      <c r="C8" s="21" t="n">
        <v>737.77</v>
      </c>
      <c r="D8" s="20">
        <f>C8-B8</f>
        <v/>
      </c>
      <c r="E8" s="22">
        <f>D8/B8</f>
        <v/>
      </c>
      <c r="F8" s="16" t="inlineStr">
        <is>
          <t>严重低估!</t>
        </is>
      </c>
    </row>
    <row r="9">
      <c r="A9" s="16" t="inlineStr">
        <is>
          <t>定制-TP</t>
        </is>
      </c>
      <c r="B9" s="21" t="n">
        <v>763.17</v>
      </c>
      <c r="C9" s="21" t="n">
        <v>1649.33</v>
      </c>
      <c r="D9" s="20">
        <f>C9-B9</f>
        <v/>
      </c>
      <c r="E9" s="22">
        <f>D9/B9</f>
        <v/>
      </c>
      <c r="F9" s="16" t="inlineStr">
        <is>
          <t>极度低估!</t>
        </is>
      </c>
    </row>
    <row r="11">
      <c r="A11" s="3" t="inlineStr">
        <is>
          <t>毛利率对比</t>
        </is>
      </c>
    </row>
    <row r="12">
      <c r="A12" s="7" t="inlineStr">
        <is>
          <t>产品型号</t>
        </is>
      </c>
      <c r="B12" s="7" t="inlineStr">
        <is>
          <t>传统方法</t>
        </is>
      </c>
      <c r="C12" s="7" t="inlineStr">
        <is>
          <t>ABC方法</t>
        </is>
      </c>
      <c r="D12" s="7" t="inlineStr">
        <is>
          <t>差异</t>
        </is>
      </c>
      <c r="E12" s="7" t="inlineStr">
        <is>
          <t>决策影响</t>
        </is>
      </c>
    </row>
    <row r="13">
      <c r="A13" s="16" t="inlineStr">
        <is>
          <t>32315</t>
        </is>
      </c>
      <c r="B13" s="18" t="n">
        <v>0.094</v>
      </c>
      <c r="C13" s="18" t="n">
        <v>0.167</v>
      </c>
      <c r="D13" s="22">
        <f>C13-B13</f>
        <v/>
      </c>
      <c r="E13" s="16" t="inlineStr">
        <is>
          <t>比预期更好</t>
        </is>
      </c>
    </row>
    <row r="14">
      <c r="A14" s="16" t="inlineStr">
        <is>
          <t>6320</t>
        </is>
      </c>
      <c r="B14" s="18" t="n">
        <v>-0.134</v>
      </c>
      <c r="C14" s="18" t="n">
        <v>-0.042</v>
      </c>
      <c r="D14" s="22">
        <f>C14-B14</f>
        <v/>
      </c>
      <c r="E14" s="16" t="inlineStr">
        <is>
          <t>没那么糟</t>
        </is>
      </c>
    </row>
    <row r="15">
      <c r="A15" s="16" t="inlineStr">
        <is>
          <t>NU2316</t>
        </is>
      </c>
      <c r="B15" s="18" t="n">
        <v>0.435</v>
      </c>
      <c r="C15" s="18" t="n">
        <v>0.386</v>
      </c>
      <c r="D15" s="22">
        <f>C15-B15</f>
        <v/>
      </c>
      <c r="E15" s="16" t="inlineStr">
        <is>
          <t>基本一致</t>
        </is>
      </c>
    </row>
    <row r="16">
      <c r="A16" s="16" t="inlineStr">
        <is>
          <t>定制-HD</t>
        </is>
      </c>
      <c r="B16" s="18" t="n">
        <v>0.776</v>
      </c>
      <c r="C16" s="18" t="n">
        <v>0.59</v>
      </c>
      <c r="D16" s="22">
        <f>C16-B16</f>
        <v/>
      </c>
      <c r="E16" s="16" t="inlineStr">
        <is>
          <t>被高估了</t>
        </is>
      </c>
    </row>
    <row r="17">
      <c r="A17" s="16" t="inlineStr">
        <is>
          <t>定制-TP</t>
        </is>
      </c>
      <c r="B17" s="18" t="n">
        <v>0.861</v>
      </c>
      <c r="C17" s="18" t="n">
        <v>0.7</v>
      </c>
      <c r="D17" s="22">
        <f>C17-B17</f>
        <v/>
      </c>
      <c r="E17" s="16" t="inlineStr">
        <is>
          <t>被显著高估!</t>
        </is>
      </c>
    </row>
    <row r="19">
      <c r="A19" s="24" t="inlineStr">
        <is>
          <t>关键发现：</t>
        </is>
      </c>
    </row>
    <row r="20">
      <c r="A20" s="25" t="inlineStr">
        <is>
          <t>1. 传统方法严重低估小批量定制品成本!</t>
        </is>
      </c>
    </row>
    <row r="21">
      <c r="A21" s="25" t="inlineStr">
        <is>
          <t>2. P005真实成本是传统方法的2.16倍!</t>
        </is>
      </c>
    </row>
    <row r="22">
      <c r="A22" s="25" t="inlineStr">
        <is>
          <t>3. 大批量标准品P001/P002成本被高估约8%</t>
        </is>
      </c>
    </row>
    <row r="23">
      <c r="A23" s="25" t="inlineStr">
        <is>
          <t>4. P001才是真正的利润贡献主力</t>
        </is>
      </c>
    </row>
    <row r="24">
      <c r="A24" s="25" t="inlineStr">
        <is>
          <t>5. P005虽高端,但成本极高,要控制规模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ABC成本模型可视化分析</t>
        </is>
      </c>
    </row>
    <row r="3">
      <c r="A3" s="5" t="inlineStr">
        <is>
          <t>产品单位成本对比（元）</t>
        </is>
      </c>
    </row>
    <row r="4">
      <c r="A4" s="26" t="inlineStr">
        <is>
          <t>产品型号</t>
        </is>
      </c>
      <c r="B4" s="26" t="inlineStr">
        <is>
          <t>传统方法</t>
        </is>
      </c>
      <c r="C4" s="26" t="inlineStr">
        <is>
          <t>ABC方法</t>
        </is>
      </c>
    </row>
    <row r="5">
      <c r="A5" t="inlineStr">
        <is>
          <t>32315</t>
        </is>
      </c>
      <c r="B5" t="n">
        <v>131.3</v>
      </c>
      <c r="C5" t="n">
        <v>120.8</v>
      </c>
    </row>
    <row r="6">
      <c r="A6" t="inlineStr">
        <is>
          <t>6320</t>
        </is>
      </c>
      <c r="B6" t="n">
        <v>104.3</v>
      </c>
      <c r="C6" t="n">
        <v>95.84999999999999</v>
      </c>
    </row>
    <row r="7">
      <c r="A7" t="inlineStr">
        <is>
          <t>NU2316</t>
        </is>
      </c>
      <c r="B7" t="n">
        <v>158.3</v>
      </c>
      <c r="C7" t="n">
        <v>171.79</v>
      </c>
    </row>
    <row r="8">
      <c r="A8" t="inlineStr">
        <is>
          <t>定制-HD</t>
        </is>
      </c>
      <c r="B8" t="n">
        <v>403.3</v>
      </c>
      <c r="C8" t="n">
        <v>737.77</v>
      </c>
    </row>
    <row r="9">
      <c r="A9" t="inlineStr">
        <is>
          <t>定制-TP</t>
        </is>
      </c>
      <c r="B9" t="n">
        <v>763.17</v>
      </c>
      <c r="C9" t="n">
        <v>1649.33</v>
      </c>
    </row>
    <row r="20">
      <c r="A20" s="5" t="inlineStr">
        <is>
          <t>作业成本分布</t>
        </is>
      </c>
    </row>
    <row r="21">
      <c r="A21" s="26" t="inlineStr">
        <is>
          <t>作业类别</t>
        </is>
      </c>
      <c r="B21" s="26" t="inlineStr">
        <is>
          <t>成本金额(元)</t>
        </is>
      </c>
    </row>
    <row r="22">
      <c r="A22" t="inlineStr">
        <is>
          <t>单位级作业</t>
        </is>
      </c>
      <c r="B22" t="n">
        <v>4560000</v>
      </c>
    </row>
    <row r="23">
      <c r="A23" t="inlineStr">
        <is>
          <t>批次级作业</t>
        </is>
      </c>
      <c r="B23" t="n">
        <v>2040000</v>
      </c>
    </row>
    <row r="24">
      <c r="A24" t="inlineStr">
        <is>
          <t>产品级作业</t>
        </is>
      </c>
      <c r="B24" t="n">
        <v>620000</v>
      </c>
    </row>
    <row r="25">
      <c r="A25" t="inlineStr">
        <is>
          <t>设施级作业</t>
        </is>
      </c>
      <c r="B25" t="n">
        <v>1080000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2025-12-10T09:41:53Z</dcterms:created>
  <dcterms:modified xsi:type="dcterms:W3CDTF">2025-12-10T09:41:53Z</dcterms:modified>
</cp:coreProperties>
</file>